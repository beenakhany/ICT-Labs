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2504" windowHeight="5100" activeTab="1"/>
  </bookViews>
  <sheets>
    <sheet name="Sheet2" sheetId="2" r:id="rId1"/>
    <sheet name="Sheet1" sheetId="1" r:id="rId2"/>
  </sheets>
  <calcPr calcId="152511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1" l="1"/>
  <c r="G2" i="1"/>
  <c r="H2" i="1"/>
  <c r="G3" i="1"/>
  <c r="H3" i="1"/>
  <c r="G4" i="1"/>
  <c r="H4" i="1"/>
  <c r="I4" i="1" s="1"/>
  <c r="B17" i="1" s="1"/>
  <c r="G5" i="1"/>
  <c r="H5" i="1"/>
  <c r="G6" i="1"/>
  <c r="H6" i="1"/>
  <c r="G7" i="1"/>
  <c r="H7" i="1"/>
  <c r="G8" i="1"/>
  <c r="H8" i="1"/>
  <c r="G9" i="1"/>
  <c r="H9" i="1"/>
  <c r="G10" i="1"/>
  <c r="G11" i="1"/>
  <c r="H11" i="1"/>
  <c r="I6" i="1"/>
  <c r="I8" i="1"/>
  <c r="H10" i="1"/>
  <c r="I10" i="1" s="1"/>
  <c r="I3" i="1"/>
  <c r="I11" i="1"/>
  <c r="I2" i="1"/>
  <c r="I7" i="1"/>
  <c r="I9" i="1"/>
  <c r="I5" i="1"/>
  <c r="B16" i="1" l="1"/>
  <c r="B18" i="1"/>
</calcChain>
</file>

<file path=xl/sharedStrings.xml><?xml version="1.0" encoding="utf-8"?>
<sst xmlns="http://schemas.openxmlformats.org/spreadsheetml/2006/main" count="43" uniqueCount="30">
  <si>
    <t xml:space="preserve">Student Name </t>
  </si>
  <si>
    <t>Roll No.</t>
  </si>
  <si>
    <t xml:space="preserve">Gender </t>
  </si>
  <si>
    <t>Subject 1</t>
  </si>
  <si>
    <t>Subject 2</t>
  </si>
  <si>
    <t>Subject</t>
  </si>
  <si>
    <t>Total</t>
  </si>
  <si>
    <t>Grade</t>
  </si>
  <si>
    <t>Average</t>
  </si>
  <si>
    <t>Ayesha Khan</t>
  </si>
  <si>
    <t>F</t>
  </si>
  <si>
    <t>Bilal Ahmed</t>
  </si>
  <si>
    <t>M</t>
  </si>
  <si>
    <t>Fatima Noor</t>
  </si>
  <si>
    <t>Hamza Tariq</t>
  </si>
  <si>
    <t>Sara Malik</t>
  </si>
  <si>
    <t>Ali Raza</t>
  </si>
  <si>
    <t>Maryam Zafar</t>
  </si>
  <si>
    <t>Ahmed Farooq</t>
  </si>
  <si>
    <t>Hira Iqbal</t>
  </si>
  <si>
    <t>Usman Khalid</t>
  </si>
  <si>
    <t>Count</t>
  </si>
  <si>
    <t>A</t>
  </si>
  <si>
    <t>B</t>
  </si>
  <si>
    <t>C</t>
  </si>
  <si>
    <t>COUNT IF CHECK  TABLE</t>
  </si>
  <si>
    <t>Row Labels</t>
  </si>
  <si>
    <t>Grand Total</t>
  </si>
  <si>
    <t>Average of Total</t>
  </si>
  <si>
    <t>VLOOKUP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</si>
</sst>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Marks Of Students </a:t>
            </a:r>
            <a:endParaRPr lang="en-US"/>
          </a:p>
        </c:rich>
      </c:tx>
      <c:layout>
        <c:manualLayout>
          <c:xMode val="edge"/>
          <c:yMode val="edge"/>
          <c:x val="0.2495971128608924"/>
          <c:y val="5.434782608695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Sheet1!$G$2:$G$11</c:f>
              <c:numCache>
                <c:formatCode>General</c:formatCode>
                <c:ptCount val="10"/>
                <c:pt idx="0">
                  <c:v>270</c:v>
                </c:pt>
                <c:pt idx="1">
                  <c:v>263</c:v>
                </c:pt>
                <c:pt idx="2">
                  <c:v>245</c:v>
                </c:pt>
                <c:pt idx="3">
                  <c:v>237</c:v>
                </c:pt>
                <c:pt idx="4">
                  <c:v>231</c:v>
                </c:pt>
                <c:pt idx="5">
                  <c:v>217</c:v>
                </c:pt>
                <c:pt idx="6">
                  <c:v>203</c:v>
                </c:pt>
                <c:pt idx="7">
                  <c:v>184</c:v>
                </c:pt>
                <c:pt idx="8">
                  <c:v>173</c:v>
                </c:pt>
                <c:pt idx="9">
                  <c:v>157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81489376"/>
        <c:axId val="381479040"/>
        <c:axId val="0"/>
      </c:bar3DChart>
      <c:catAx>
        <c:axId val="38148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79040"/>
        <c:crosses val="autoZero"/>
        <c:auto val="1"/>
        <c:lblAlgn val="ctr"/>
        <c:lblOffset val="100"/>
        <c:noMultiLvlLbl val="0"/>
      </c:catAx>
      <c:valAx>
        <c:axId val="3814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Marks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89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bg1"/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19</xdr:row>
      <xdr:rowOff>83820</xdr:rowOff>
    </xdr:from>
    <xdr:to>
      <xdr:col>5</xdr:col>
      <xdr:colOff>541020</xdr:colOff>
      <xdr:row>34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43.929207291665" createdVersion="5" refreshedVersion="5" minRefreshableVersion="3" recordCount="10">
  <cacheSource type="worksheet">
    <worksheetSource ref="A1:I11" sheet="Sheet1"/>
  </cacheSource>
  <cacheFields count="9">
    <cacheField name="Student Name " numFmtId="0">
      <sharedItems/>
    </cacheField>
    <cacheField name="Roll No." numFmtId="0">
      <sharedItems containsSemiMixedTypes="0" containsString="0" containsNumber="1" containsInteger="1" minValue="101" maxValue="110"/>
    </cacheField>
    <cacheField name="Gender " numFmtId="0">
      <sharedItems count="2">
        <s v="M"/>
        <s v="F"/>
      </sharedItems>
    </cacheField>
    <cacheField name="Subject 1" numFmtId="0">
      <sharedItems containsSemiMixedTypes="0" containsString="0" containsNumber="1" containsInteger="1" minValue="49" maxValue="92"/>
    </cacheField>
    <cacheField name="Subject 2" numFmtId="0">
      <sharedItems containsSemiMixedTypes="0" containsString="0" containsNumber="1" containsInteger="1" minValue="55" maxValue="90"/>
    </cacheField>
    <cacheField name="Subject" numFmtId="0">
      <sharedItems containsSemiMixedTypes="0" containsString="0" containsNumber="1" containsInteger="1" minValue="53" maxValue="90"/>
    </cacheField>
    <cacheField name="Total" numFmtId="0">
      <sharedItems containsSemiMixedTypes="0" containsString="0" containsNumber="1" containsInteger="1" minValue="157" maxValue="270"/>
    </cacheField>
    <cacheField name="Average" numFmtId="2">
      <sharedItems containsSemiMixedTypes="0" containsString="0" containsNumber="1" minValue="52.333333333333336" maxValue="90"/>
    </cacheField>
    <cacheField name="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Bilal Ahmed"/>
    <n v="102"/>
    <x v="0"/>
    <n v="92"/>
    <n v="88"/>
    <n v="90"/>
    <n v="270"/>
    <n v="90"/>
    <s v="A"/>
  </r>
  <r>
    <s v="Maryam Zafar"/>
    <n v="107"/>
    <x v="1"/>
    <n v="88"/>
    <n v="90"/>
    <n v="85"/>
    <n v="263"/>
    <n v="87.666666666666671"/>
    <s v="A"/>
  </r>
  <r>
    <s v="Sara Malik"/>
    <n v="105"/>
    <x v="1"/>
    <n v="81"/>
    <n v="79"/>
    <n v="85"/>
    <n v="245"/>
    <n v="81.666666666666671"/>
    <s v="A"/>
  </r>
  <r>
    <s v="Ayesha Khan"/>
    <n v="101"/>
    <x v="1"/>
    <n v="78"/>
    <n v="85"/>
    <n v="74"/>
    <n v="237"/>
    <n v="79"/>
    <s v="B"/>
  </r>
  <r>
    <s v="Usman Khalid"/>
    <n v="110"/>
    <x v="0"/>
    <n v="77"/>
    <n v="80"/>
    <n v="74"/>
    <n v="231"/>
    <n v="77"/>
    <s v="B"/>
  </r>
  <r>
    <s v="Ali Raza"/>
    <n v="106"/>
    <x v="0"/>
    <n v="73"/>
    <n v="69"/>
    <n v="75"/>
    <n v="217"/>
    <n v="72.333333333333329"/>
    <s v="B"/>
  </r>
  <r>
    <s v="Fatima Noor"/>
    <n v="103"/>
    <x v="1"/>
    <n v="65"/>
    <n v="70"/>
    <n v="68"/>
    <n v="203"/>
    <n v="67.666666666666671"/>
    <s v="B"/>
  </r>
  <r>
    <s v="Ahmed Farooq"/>
    <n v="108"/>
    <x v="0"/>
    <n v="61"/>
    <n v="64"/>
    <n v="59"/>
    <n v="184"/>
    <n v="61.333333333333336"/>
    <s v="B"/>
  </r>
  <r>
    <s v="Hamza Tariq"/>
    <n v="104"/>
    <x v="0"/>
    <n v="55"/>
    <n v="58"/>
    <n v="60"/>
    <n v="173"/>
    <n v="57.666666666666664"/>
    <s v="C"/>
  </r>
  <r>
    <s v="Hira Iqbal"/>
    <n v="109"/>
    <x v="1"/>
    <n v="49"/>
    <n v="55"/>
    <n v="53"/>
    <n v="157"/>
    <n v="52.333333333333336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/>
  <pivotFields count="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Total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26</v>
      </c>
      <c r="B3" t="s">
        <v>28</v>
      </c>
    </row>
    <row r="4" spans="1:2" x14ac:dyDescent="0.3">
      <c r="A4" s="5" t="s">
        <v>10</v>
      </c>
      <c r="B4" s="6">
        <v>221</v>
      </c>
    </row>
    <row r="5" spans="1:2" x14ac:dyDescent="0.3">
      <c r="A5" s="5" t="s">
        <v>12</v>
      </c>
      <c r="B5" s="6">
        <v>215</v>
      </c>
    </row>
    <row r="6" spans="1:2" x14ac:dyDescent="0.3">
      <c r="A6" s="5" t="s">
        <v>27</v>
      </c>
      <c r="B6" s="6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A34" workbookViewId="0">
      <selection activeCell="A37" sqref="A37"/>
    </sheetView>
  </sheetViews>
  <sheetFormatPr defaultRowHeight="14.4" x14ac:dyDescent="0.3"/>
  <cols>
    <col min="1" max="1" width="23.88671875" customWidth="1"/>
  </cols>
  <sheetData>
    <row r="1" spans="1:9" ht="16.8" customHeigh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 t="s">
        <v>11</v>
      </c>
      <c r="B2">
        <v>102</v>
      </c>
      <c r="C2" t="s">
        <v>12</v>
      </c>
      <c r="D2">
        <v>92</v>
      </c>
      <c r="E2">
        <v>88</v>
      </c>
      <c r="F2">
        <v>90</v>
      </c>
      <c r="G2">
        <f>SUM(D2:F2)</f>
        <v>270</v>
      </c>
      <c r="H2" s="2">
        <f>AVERAGE(D2:F2)</f>
        <v>90</v>
      </c>
      <c r="I2" t="str">
        <f>IF(H2&gt;=80,"A",IF(H2&gt;=60,"B",IF(H2&gt;=50,"C")))</f>
        <v>A</v>
      </c>
    </row>
    <row r="3" spans="1:9" x14ac:dyDescent="0.3">
      <c r="A3" t="s">
        <v>17</v>
      </c>
      <c r="B3">
        <v>107</v>
      </c>
      <c r="C3" t="s">
        <v>10</v>
      </c>
      <c r="D3">
        <v>88</v>
      </c>
      <c r="E3">
        <v>90</v>
      </c>
      <c r="F3">
        <v>85</v>
      </c>
      <c r="G3">
        <f t="shared" ref="G3:G11" si="0">SUM(D3:F3)</f>
        <v>263</v>
      </c>
      <c r="H3" s="2">
        <f>AVERAGE(D3:F3)</f>
        <v>87.666666666666671</v>
      </c>
      <c r="I3" t="str">
        <f>IF(H3&gt;=80,"A",IF(H3&gt;=60,"B",IF(H3&gt;=50,"C")))</f>
        <v>A</v>
      </c>
    </row>
    <row r="4" spans="1:9" x14ac:dyDescent="0.3">
      <c r="A4" t="s">
        <v>15</v>
      </c>
      <c r="B4">
        <v>105</v>
      </c>
      <c r="C4" t="s">
        <v>10</v>
      </c>
      <c r="D4">
        <v>81</v>
      </c>
      <c r="E4">
        <v>79</v>
      </c>
      <c r="F4">
        <v>85</v>
      </c>
      <c r="G4">
        <f t="shared" si="0"/>
        <v>245</v>
      </c>
      <c r="H4" s="2">
        <f>AVERAGE(D4:F4)</f>
        <v>81.666666666666671</v>
      </c>
      <c r="I4" t="str">
        <f>IF(H4&gt;=80,"A",IF(H4&gt;=60,"B",IF(H4&gt;=50,"C")))</f>
        <v>A</v>
      </c>
    </row>
    <row r="5" spans="1:9" x14ac:dyDescent="0.3">
      <c r="A5" t="s">
        <v>9</v>
      </c>
      <c r="B5">
        <v>101</v>
      </c>
      <c r="C5" t="s">
        <v>10</v>
      </c>
      <c r="D5">
        <v>78</v>
      </c>
      <c r="E5">
        <v>85</v>
      </c>
      <c r="F5">
        <v>74</v>
      </c>
      <c r="G5">
        <f t="shared" si="0"/>
        <v>237</v>
      </c>
      <c r="H5" s="2">
        <f>AVERAGE(D5:F5)</f>
        <v>79</v>
      </c>
      <c r="I5" t="str">
        <f>IF(H5&gt;=80,"A",IF(H5&gt;=60,"B",IF(H5&gt;=50,"C")))</f>
        <v>B</v>
      </c>
    </row>
    <row r="6" spans="1:9" x14ac:dyDescent="0.3">
      <c r="A6" t="s">
        <v>20</v>
      </c>
      <c r="B6">
        <v>110</v>
      </c>
      <c r="C6" t="s">
        <v>12</v>
      </c>
      <c r="D6">
        <v>77</v>
      </c>
      <c r="E6">
        <v>80</v>
      </c>
      <c r="F6">
        <v>74</v>
      </c>
      <c r="G6">
        <f t="shared" si="0"/>
        <v>231</v>
      </c>
      <c r="H6" s="2">
        <f>AVERAGE(D6:F6)</f>
        <v>77</v>
      </c>
      <c r="I6" t="str">
        <f>IF(H6&gt;=80,"A",IF(H6&gt;=60,"B",IF(H6&gt;=50,"C")))</f>
        <v>B</v>
      </c>
    </row>
    <row r="7" spans="1:9" x14ac:dyDescent="0.3">
      <c r="A7" t="s">
        <v>16</v>
      </c>
      <c r="B7">
        <v>106</v>
      </c>
      <c r="C7" t="s">
        <v>12</v>
      </c>
      <c r="D7">
        <v>73</v>
      </c>
      <c r="E7">
        <v>69</v>
      </c>
      <c r="F7">
        <v>75</v>
      </c>
      <c r="G7">
        <f t="shared" si="0"/>
        <v>217</v>
      </c>
      <c r="H7" s="2">
        <f>AVERAGE(D7:F7)</f>
        <v>72.333333333333329</v>
      </c>
      <c r="I7" t="str">
        <f>IF(H7&gt;=80,"A",IF(H7&gt;=60,"B",IF(H7&gt;=50,"C")))</f>
        <v>B</v>
      </c>
    </row>
    <row r="8" spans="1:9" x14ac:dyDescent="0.3">
      <c r="A8" t="s">
        <v>13</v>
      </c>
      <c r="B8">
        <v>103</v>
      </c>
      <c r="C8" t="s">
        <v>10</v>
      </c>
      <c r="D8">
        <v>65</v>
      </c>
      <c r="E8">
        <v>70</v>
      </c>
      <c r="F8">
        <v>68</v>
      </c>
      <c r="G8">
        <f t="shared" si="0"/>
        <v>203</v>
      </c>
      <c r="H8" s="2">
        <f>AVERAGE(D8:F8)</f>
        <v>67.666666666666671</v>
      </c>
      <c r="I8" t="str">
        <f>IF(H8&gt;=80,"A",IF(H8&gt;=60,"B",IF(H8&gt;=50,"C")))</f>
        <v>B</v>
      </c>
    </row>
    <row r="9" spans="1:9" x14ac:dyDescent="0.3">
      <c r="A9" t="s">
        <v>18</v>
      </c>
      <c r="B9">
        <v>108</v>
      </c>
      <c r="C9" t="s">
        <v>12</v>
      </c>
      <c r="D9">
        <v>61</v>
      </c>
      <c r="E9">
        <v>64</v>
      </c>
      <c r="F9">
        <v>59</v>
      </c>
      <c r="G9">
        <f t="shared" si="0"/>
        <v>184</v>
      </c>
      <c r="H9" s="2">
        <f>AVERAGE(D9:F9)</f>
        <v>61.333333333333336</v>
      </c>
      <c r="I9" t="str">
        <f>IF(H9&gt;=80,"A",IF(H9&gt;=60,"B",IF(H9&gt;=50,"C")))</f>
        <v>B</v>
      </c>
    </row>
    <row r="10" spans="1:9" x14ac:dyDescent="0.3">
      <c r="A10" t="s">
        <v>14</v>
      </c>
      <c r="B10">
        <v>104</v>
      </c>
      <c r="C10" t="s">
        <v>12</v>
      </c>
      <c r="D10">
        <v>55</v>
      </c>
      <c r="E10">
        <v>58</v>
      </c>
      <c r="F10">
        <v>60</v>
      </c>
      <c r="G10">
        <f t="shared" si="0"/>
        <v>173</v>
      </c>
      <c r="H10" s="2">
        <f>AVERAGE(D10:F10)</f>
        <v>57.666666666666664</v>
      </c>
      <c r="I10" t="str">
        <f>IF(H10&gt;=80,"A",IF(H10&gt;=60,"B",IF(H10&gt;=50,"C")))</f>
        <v>C</v>
      </c>
    </row>
    <row r="11" spans="1:9" x14ac:dyDescent="0.3">
      <c r="A11" t="s">
        <v>19</v>
      </c>
      <c r="B11">
        <v>109</v>
      </c>
      <c r="C11" t="s">
        <v>10</v>
      </c>
      <c r="D11">
        <v>49</v>
      </c>
      <c r="E11">
        <v>55</v>
      </c>
      <c r="F11">
        <v>53</v>
      </c>
      <c r="G11">
        <f t="shared" si="0"/>
        <v>157</v>
      </c>
      <c r="H11" s="2">
        <f>AVERAGE(D11:F11)</f>
        <v>52.333333333333336</v>
      </c>
      <c r="I11" t="str">
        <f>IF(H11&gt;=80,"A",IF(H11&gt;=60,"B",IF(H11&gt;=50,"C")))</f>
        <v>C</v>
      </c>
    </row>
    <row r="13" spans="1:9" ht="21" customHeight="1" x14ac:dyDescent="0.3"/>
    <row r="14" spans="1:9" ht="12.6" customHeight="1" x14ac:dyDescent="0.3">
      <c r="A14" s="3" t="s">
        <v>25</v>
      </c>
    </row>
    <row r="15" spans="1:9" x14ac:dyDescent="0.3">
      <c r="A15" t="s">
        <v>7</v>
      </c>
      <c r="B15" t="s">
        <v>21</v>
      </c>
    </row>
    <row r="16" spans="1:9" x14ac:dyDescent="0.3">
      <c r="A16" t="s">
        <v>22</v>
      </c>
      <c r="B16">
        <f>COUNTIF($I$2:$I$11,"A")</f>
        <v>3</v>
      </c>
    </row>
    <row r="17" spans="1:2" x14ac:dyDescent="0.3">
      <c r="A17" t="s">
        <v>23</v>
      </c>
      <c r="B17">
        <f>COUNTIF($I$2:$I$11,"B")</f>
        <v>5</v>
      </c>
    </row>
    <row r="18" spans="1:2" x14ac:dyDescent="0.3">
      <c r="A18" t="s">
        <v>24</v>
      </c>
      <c r="B18">
        <f>COUNTIF($I$2:$I$11,"C")</f>
        <v>2</v>
      </c>
    </row>
    <row r="37" spans="1:2" x14ac:dyDescent="0.3">
      <c r="A37" t="s">
        <v>29</v>
      </c>
    </row>
    <row r="38" spans="1:2" x14ac:dyDescent="0.3">
      <c r="A38" t="s">
        <v>1</v>
      </c>
      <c r="B38" t="s">
        <v>6</v>
      </c>
    </row>
    <row r="39" spans="1:2" x14ac:dyDescent="0.3">
      <c r="A39">
        <v>109</v>
      </c>
      <c r="B39">
        <f>VLOOKUP(A39,B1:I11, 6,FALSE)</f>
        <v>157</v>
      </c>
    </row>
  </sheetData>
  <sortState ref="A2:I11">
    <sortCondition descending="1" ref="H2"/>
  </sortState>
  <conditionalFormatting sqref="I2:I11">
    <cfRule type="cellIs" dxfId="1" priority="2" operator="equal">
      <formula>"A"</formula>
    </cfRule>
    <cfRule type="cellIs" dxfId="0" priority="1" operator="equal">
      <formula>"C"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2025-10-14T03:23:09Z</dcterms:created>
  <dcterms:modified xsi:type="dcterms:W3CDTF">2025-10-14T06:14:12Z</dcterms:modified>
</cp:coreProperties>
</file>